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aw Data Fari - Raw Data (Fari)" sheetId="2" r:id="rId5"/>
    <sheet name="Sensitivity Fari - Sensitivity " sheetId="3" r:id="rId6"/>
    <sheet name="Top-Down TAM Fari - Top-Down TA" sheetId="4" r:id="rId7"/>
    <sheet name="Bottom-Up TAM Fari - Bottom-Up " sheetId="5" r:id="rId8"/>
    <sheet name="SAM Fari - SAM" sheetId="6" r:id="rId9"/>
    <sheet name="Raw Data Sentinel - Raw Data (S" sheetId="7" r:id="rId10"/>
    <sheet name="Top-Down TAM Sentinel - Top-Dow" sheetId="8" r:id="rId11"/>
    <sheet name="Bottom-Up TAM Sentinel - Bottom" sheetId="9" r:id="rId12"/>
    <sheet name="SAM Sentinel - SAM" sheetId="10" r:id="rId13"/>
  </sheets>
</workbook>
</file>

<file path=xl/sharedStrings.xml><?xml version="1.0" encoding="utf-8"?>
<sst xmlns="http://schemas.openxmlformats.org/spreadsheetml/2006/main" uniqueCount="112">
  <si>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</si>
  <si>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</si>
  <si>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</si>
  <si>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</si>
  <si>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 Data Fari</t>
  </si>
  <si>
    <t>Raw Data (Fari)</t>
  </si>
  <si>
    <t>Raw Data Fari - Raw Data (Fari)</t>
  </si>
  <si>
    <t>Source</t>
  </si>
  <si>
    <t>Variable</t>
  </si>
  <si>
    <t>Value</t>
  </si>
  <si>
    <t>Year</t>
  </si>
  <si>
    <t xml:space="preserve">Citation </t>
  </si>
  <si>
    <t xml:space="preserve">US Census </t>
  </si>
  <si>
    <t>Population over 65</t>
  </si>
  <si>
    <r>
      <rPr>
        <u val="single"/>
        <sz val="10"/>
        <color indexed="8"/>
        <rFont val="Helvetica Neue"/>
      </rPr>
      <t>https://data.census.gov/table/ACSST1Y2024.S0103?q=senior+popuolation</t>
    </r>
  </si>
  <si>
    <t>OECD</t>
  </si>
  <si>
    <t>Old-age dependency ratio on average globally</t>
  </si>
  <si>
    <r>
      <rPr>
        <u val="single"/>
        <sz val="10"/>
        <color indexed="8"/>
        <rFont val="Helvetica Neue"/>
      </rPr>
      <t>https://www.oecd.org/en/data/indicators/old-age-dependency-ratio.html</t>
    </r>
  </si>
  <si>
    <t>Bureau of Labor Statistics</t>
  </si>
  <si>
    <t>Median wage of Home Health and Personal Care Aides per year</t>
  </si>
  <si>
    <r>
      <rPr>
        <u val="single"/>
        <sz val="10"/>
        <color indexed="8"/>
        <rFont val="Helvetica Neue"/>
      </rPr>
      <t>https://www.bls.gov/ooh/healthcare/home-health-aides-and-personal-care-aides.htm</t>
    </r>
  </si>
  <si>
    <t xml:space="preserve">Home Health and Personal Care Aides employment </t>
  </si>
  <si>
    <t>Pew</t>
  </si>
  <si>
    <t>Smartphone dependency for age 65+</t>
  </si>
  <si>
    <r>
      <rPr>
        <u val="single"/>
        <sz val="10"/>
        <color indexed="8"/>
        <rFont val="Helvetica Neue"/>
      </rPr>
      <t>https://www.pewresearch.org/internet/fact-sheet/mobile/</t>
    </r>
  </si>
  <si>
    <t>AARP</t>
  </si>
  <si>
    <t>AI adoption interest average for age 50+</t>
  </si>
  <si>
    <r>
      <rPr>
        <u val="single"/>
        <sz val="10"/>
        <color indexed="8"/>
        <rFont val="Helvetica Neue"/>
      </rPr>
      <t>https://www.aarp.org/pri/topics/technology/internet-media-devices/2026-technology-trends-older-adults/</t>
    </r>
  </si>
  <si>
    <t>Smartphone ownership for age 65+</t>
  </si>
  <si>
    <t>Home Health and Personal Care Aides employment change 2024-34</t>
  </si>
  <si>
    <t>Seniors living in households</t>
  </si>
  <si>
    <t>Seniors living alone in households</t>
  </si>
  <si>
    <t>Sensitivity Fari</t>
  </si>
  <si>
    <t>Sensitivity Comparison</t>
  </si>
  <si>
    <t xml:space="preserve">Sensitivity Fari - Sensitivity </t>
  </si>
  <si>
    <t xml:space="preserve">Assumption </t>
  </si>
  <si>
    <t>Base Value</t>
  </si>
  <si>
    <t>Low Case</t>
  </si>
  <si>
    <t>High Case</t>
  </si>
  <si>
    <t>Smartphone ownership (65+)</t>
  </si>
  <si>
    <t>Companion robot adoption willingness</t>
  </si>
  <si>
    <t xml:space="preserve">Population age 65+ </t>
  </si>
  <si>
    <t>Top-Down TAM Fari</t>
  </si>
  <si>
    <t>Top-Down TAM</t>
  </si>
  <si>
    <t>Top-Down TAM Fari - Top-Down TA</t>
  </si>
  <si>
    <t>Step</t>
  </si>
  <si>
    <t>Calculation</t>
  </si>
  <si>
    <t xml:space="preserve">Result </t>
  </si>
  <si>
    <t>Low Adoption</t>
  </si>
  <si>
    <t>High Adoption</t>
  </si>
  <si>
    <t>Population age 65+</t>
  </si>
  <si>
    <t>Smartphone ownership</t>
  </si>
  <si>
    <t>Adoption willingness</t>
  </si>
  <si>
    <t>Bottom-Up TAM Fari</t>
  </si>
  <si>
    <t>Bottom-Up TAM</t>
  </si>
  <si>
    <t xml:space="preserve">Bottom-Up TAM Fari - Bottom-Up </t>
  </si>
  <si>
    <t>Results</t>
  </si>
  <si>
    <t>Lowest support</t>
  </si>
  <si>
    <t>High support</t>
  </si>
  <si>
    <t>Higher support</t>
  </si>
  <si>
    <t>Highest support</t>
  </si>
  <si>
    <t>Caregiving need</t>
  </si>
  <si>
    <t xml:space="preserve">Seniors supported per aide </t>
  </si>
  <si>
    <t>Tech ready seniors</t>
  </si>
  <si>
    <t>Technology adoption willingness</t>
  </si>
  <si>
    <t>Bottom-up TAM</t>
  </si>
  <si>
    <t>SAM Fari</t>
  </si>
  <si>
    <t>SAM</t>
  </si>
  <si>
    <t>SAM Fari - SAM</t>
  </si>
  <si>
    <t>Metric</t>
  </si>
  <si>
    <t>Top Down</t>
  </si>
  <si>
    <t>Bottom up</t>
  </si>
  <si>
    <t xml:space="preserve">Reconciled TAM </t>
  </si>
  <si>
    <t>Raw Data Sentinel</t>
  </si>
  <si>
    <t>Raw Data (Sentinel)</t>
  </si>
  <si>
    <t>Raw Data Sentinel - Raw Data (S</t>
  </si>
  <si>
    <t>Citation</t>
  </si>
  <si>
    <t>BLS</t>
  </si>
  <si>
    <t>Number of security guards</t>
  </si>
  <si>
    <r>
      <rPr>
        <u val="single"/>
        <sz val="10"/>
        <color indexed="8"/>
        <rFont val="Helvetica Neue"/>
      </rPr>
      <t>https://www.bls.gov/ooh/protective-service/security-guards.htm</t>
    </r>
  </si>
  <si>
    <t>Median annual wage</t>
  </si>
  <si>
    <t>SEC EDGAR</t>
  </si>
  <si>
    <t xml:space="preserve">ADT revenue </t>
  </si>
  <si>
    <r>
      <rPr>
        <u val="single"/>
        <sz val="10"/>
        <color indexed="8"/>
        <rFont val="Helvetica Neue"/>
      </rPr>
      <t>https://investor.adt.com/financials/annual-reports/default.aspx</t>
    </r>
  </si>
  <si>
    <t>Allegion revenue</t>
  </si>
  <si>
    <r>
      <rPr>
        <u val="single"/>
        <sz val="10"/>
        <color indexed="8"/>
        <rFont val="Helvetica Neue"/>
      </rPr>
      <t>https://investor.allegion.com/financial-information/annual-reports-and-proxies</t>
    </r>
  </si>
  <si>
    <t xml:space="preserve">Brinks Home revenue </t>
  </si>
  <si>
    <r>
      <rPr>
        <u val="single"/>
        <sz val="10"/>
        <color indexed="8"/>
        <rFont val="Helvetica Neue"/>
      </rPr>
      <t>https://investors.brinks.com/node/32226/html</t>
    </r>
  </si>
  <si>
    <t xml:space="preserve">Resideo revenue </t>
  </si>
  <si>
    <r>
      <rPr>
        <u val="single"/>
        <sz val="10"/>
        <color indexed="8"/>
        <rFont val="Helvetica Neue"/>
      </rPr>
      <t>https://s206.q4cdn.com/301352751/files/doc_financials/2025/ar/ny20064808x3_ars_Resideo-Technologies_EDGAR_AsFiled.pdf</t>
    </r>
  </si>
  <si>
    <t>Security Industry Association (SIA)</t>
  </si>
  <si>
    <t>The market for physical security services in US</t>
  </si>
  <si>
    <r>
      <rPr>
        <u val="single"/>
        <sz val="10"/>
        <color indexed="8"/>
        <rFont val="Helvetica Neue"/>
      </rPr>
      <t>https://www.securityindustry.org/wp-content/uploads/2022/10/SIA-Omdia-US-Physical-Security-Market-Assessment-2022.pdf#:~:text=Systems%20integration%20was%20a%20%2419%20billion%20market%20in%202021.%20The%20market%20includes%20design%20and%20consultancy%2C%20installation%2C%20and%20service%20and%20maintenance%20of%20video%20surveillance%2C%20physical%20access%20control%2C%20and%20intruder%20alarm%20systems.%20It%20also%20includes%20the%20equipment%20revenue%20at%20end%2Duser%20pricing%20as%20generated%20by%20commercial%20security%20system%20integrators%20and%20installers.%20Excluding%20equipment%20revenues%2C%20the%20service%20market%20was%20worth%20%2412.1%20billion%20in%202021.%20By%202026%2C%20the%20US%20security%20integration%20market%20(services%20and%20equipment)%20is</t>
    </r>
  </si>
  <si>
    <t>The market for security equipments</t>
  </si>
  <si>
    <t>https://www.securityindustry.org/wp-content/uploads/2022/10/SIA-Omdia-US-Physical-Security-Market-Assessment-2022.pdf#:~:text=the%20US%20market%20accounted%20for%20%247.65%20billion%20in%20physical%20security%20equipment%20revenue.%20This%20includes%20video%20surveillance%20equipment%20and%20associated%20servers%20and%20storage%2C%20physical%20access%20control%20equipment%20and%20intruder%20alarm%20equipment%20sales.%20The%20equipment%20market%20is%20forecast%20to%20grow%20at%20a%20compound%20annual%20growth%20rate%20(CAGR)%20of%208.5%25%20between%202021%20and%202026%2C%20resulting%20in%20a%20market%20of%20over%20%2411%20billion%20by%20the%20end%20of%20the%20forecast%20period.</t>
  </si>
  <si>
    <t>Share of AI in security services</t>
  </si>
  <si>
    <r>
      <rPr>
        <u val="single"/>
        <sz val="10"/>
        <color indexed="8"/>
        <rFont val="Helvetica Neue"/>
      </rPr>
      <t>https://www.securityindustry.org/2026/05/27/ai-in-security-infrastructure-not-hype-will-determine-roi/#:~:text=78%25%20of%20organizations%20used%20AI%20in%202024%2C%20up%20from%2055%25%20the%20year%20before</t>
    </r>
  </si>
  <si>
    <t>Top-Down TAM Sentinel</t>
  </si>
  <si>
    <t>Top-Down TAM Sentinel - Top-Dow</t>
  </si>
  <si>
    <t>Result</t>
  </si>
  <si>
    <t>Physical Security Services</t>
  </si>
  <si>
    <t>Security Equipment</t>
  </si>
  <si>
    <t>Bottom-Up TAM Sentinel</t>
  </si>
  <si>
    <t>Bottom-Up TAM Sentinel - Bottom</t>
  </si>
  <si>
    <t>Security guards</t>
  </si>
  <si>
    <t>SAM Sentinel</t>
  </si>
  <si>
    <t>SAM Sentinel - SAM</t>
  </si>
  <si>
    <t xml:space="preserve">Low </t>
  </si>
  <si>
    <t xml:space="preserve">High </t>
  </si>
  <si>
    <t xml:space="preserve">TAM top down </t>
  </si>
  <si>
    <t>TAM bottom up</t>
  </si>
  <si>
    <t xml:space="preserve">Security equipment market </t>
  </si>
</sst>
</file>

<file path=xl/styles.xml><?xml version="1.0" encoding="utf-8"?>
<styleSheet xmlns="http://schemas.openxmlformats.org/spreadsheetml/2006/main">
  <numFmts count="5">
    <numFmt numFmtId="0" formatCode="General"/>
    <numFmt numFmtId="59" formatCode="&quot;$&quot;#,##0.00"/>
    <numFmt numFmtId="60" formatCode="0.0#%"/>
    <numFmt numFmtId="61" formatCode="0.0%"/>
    <numFmt numFmtId="62" formatCode="&quot;$&quot;0.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u val="single"/>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4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3"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0" borderId="7"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3" fontId="0" borderId="7" applyNumberFormat="1" applyFont="1" applyFill="0" applyBorder="1" applyAlignment="1" applyProtection="0">
      <alignment vertical="top" wrapText="1"/>
    </xf>
    <xf numFmtId="9" fontId="0" borderId="7" applyNumberFormat="1" applyFont="1" applyFill="0" applyBorder="1" applyAlignment="1" applyProtection="0">
      <alignment vertical="top" wrapText="1"/>
    </xf>
    <xf numFmtId="60"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9" fontId="0" borderId="3"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9" fontId="0" borderId="6" applyNumberFormat="1" applyFont="1" applyFill="0" applyBorder="1" applyAlignment="1" applyProtection="0">
      <alignment vertical="top" wrapText="1"/>
    </xf>
    <xf numFmtId="61" fontId="0" borderId="6" applyNumberFormat="1" applyFont="1" applyFill="0" applyBorder="1" applyAlignment="1" applyProtection="0">
      <alignment vertical="top" wrapText="1"/>
    </xf>
    <xf numFmtId="61" fontId="0" borderId="7" applyNumberFormat="1" applyFont="1" applyFill="0" applyBorder="1" applyAlignment="1" applyProtection="0">
      <alignment vertical="top" wrapText="1"/>
    </xf>
    <xf numFmtId="3"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3" fontId="0" borderId="3"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59" fontId="0" borderId="3" applyNumberFormat="1" applyFont="1" applyFill="0" applyBorder="1" applyAlignment="1" applyProtection="0">
      <alignment vertical="top" wrapText="1"/>
    </xf>
    <xf numFmtId="59"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62" fontId="0" borderId="6" applyNumberFormat="1" applyFont="1" applyFill="0" applyBorder="1" applyAlignment="1" applyProtection="0">
      <alignment vertical="top" wrapText="1"/>
    </xf>
    <xf numFmtId="62"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ata.census.gov/table/ACSST1Y2024.S0103?q=senior+popuolation" TargetMode="External"/><Relationship Id="rId2" Type="http://schemas.openxmlformats.org/officeDocument/2006/relationships/hyperlink" Target="https://www.oecd.org/en/data/indicators/old-age-dependency-ratio.html" TargetMode="External"/><Relationship Id="rId3" Type="http://schemas.openxmlformats.org/officeDocument/2006/relationships/hyperlink" Target="https://www.bls.gov/ooh/healthcare/home-health-aides-and-personal-care-aides.htm" TargetMode="External"/><Relationship Id="rId4" Type="http://schemas.openxmlformats.org/officeDocument/2006/relationships/hyperlink" Target="https://www.bls.gov/ooh/healthcare/home-health-aides-and-personal-care-aides.htm" TargetMode="External"/><Relationship Id="rId5" Type="http://schemas.openxmlformats.org/officeDocument/2006/relationships/hyperlink" Target="https://www.pewresearch.org/internet/fact-sheet/mobile/" TargetMode="External"/><Relationship Id="rId6" Type="http://schemas.openxmlformats.org/officeDocument/2006/relationships/hyperlink" Target="https://www.aarp.org/pri/topics/technology/internet-media-devices/2026-technology-trends-older-adults/" TargetMode="External"/><Relationship Id="rId7" Type="http://schemas.openxmlformats.org/officeDocument/2006/relationships/hyperlink" Target="https://www.pewresearch.org/internet/fact-sheet/mobile/" TargetMode="External"/><Relationship Id="rId8" Type="http://schemas.openxmlformats.org/officeDocument/2006/relationships/hyperlink" Target="https://www.bls.gov/ooh/healthcare/home-health-aides-and-personal-care-aides.htm" TargetMode="External"/><Relationship Id="rId9" Type="http://schemas.openxmlformats.org/officeDocument/2006/relationships/hyperlink" Target="https://data.census.gov/table/ACSST1Y2024.S0103?q=senior+popuolation" TargetMode="External"/><Relationship Id="rId10" Type="http://schemas.openxmlformats.org/officeDocument/2006/relationships/hyperlink" Target="https://data.census.gov/table/ACSST1Y2024.S0103?q=senior+popuolation"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bls.gov/ooh/protective-service/security-guards.htm" TargetMode="External"/><Relationship Id="rId2" Type="http://schemas.openxmlformats.org/officeDocument/2006/relationships/hyperlink" Target="https://www.bls.gov/ooh/protective-service/security-guards.htm" TargetMode="External"/><Relationship Id="rId3" Type="http://schemas.openxmlformats.org/officeDocument/2006/relationships/hyperlink" Target="https://investor.adt.com/financials/annual-reports/default.aspx" TargetMode="External"/><Relationship Id="rId4" Type="http://schemas.openxmlformats.org/officeDocument/2006/relationships/hyperlink" Target="https://investor.allegion.com/financial-information/annual-reports-and-proxies" TargetMode="External"/><Relationship Id="rId5" Type="http://schemas.openxmlformats.org/officeDocument/2006/relationships/hyperlink" Target="https://investors.brinks.com/node/32226/html" TargetMode="External"/><Relationship Id="rId6" Type="http://schemas.openxmlformats.org/officeDocument/2006/relationships/hyperlink" Target="https://s206.q4cdn.com/301352751/files/doc_financials/2025/ar/ny20064808x3_ars_Resideo-Technologies_EDGAR_AsFiled.pdf" TargetMode="External"/><Relationship Id="rId7" Type="http://schemas.openxmlformats.org/officeDocument/2006/relationships/hyperlink" Target="https://www.securityindustry.org/wp-content/uploads/2022/10/SIA-Omdia-US-Physical-Security-Market-Assessment-2022.pdf#:~:text=Systems%20integration%20was%20a%20%2419%20billion%20market%20in%202021.%20The%20market%20includes%20design%20and%20consultancy%2C%20installation%2C%20and%20service%20and%20maintenance%20of%20video%20surveillance%2C%20physical%20access%20control%2C%20and%20intruder%20alarm%20systems.%20It%20also%20includes%20the%20equipment%20revenue%20at%20end%2Duser%20pricing%20as%20generated%20by%20commercial%20security%20system%20integrators%20and%20installers.%20Excluding%20equipment%20revenues%2C%20the%20service%20market%20was%20worth%20%2412.1%20billion%20in%202021.%20By%202026%2C%20the%20US%20security%20integration%20market%20(services%20and%20equipment)%20is" TargetMode="External"/><Relationship Id="rId8" Type="http://schemas.openxmlformats.org/officeDocument/2006/relationships/hyperlink" Target="https://www.securityindustry.org/2026/05/27/ai-in-security-infrastructure-not-hype-will-determine-roi/#:~:text=78%25%20of%20organizations%20used%20AI%20in%202024%2C%20up%20from%2055%25%20the%20year%20befor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32</v>
      </c>
      <c r="C11" s="3"/>
      <c r="D11" s="3"/>
    </row>
    <row r="12">
      <c r="B12" s="4"/>
      <c r="C12" t="s" s="4">
        <v>33</v>
      </c>
      <c r="D12" t="s" s="5">
        <v>34</v>
      </c>
    </row>
    <row r="13">
      <c r="B13" t="s" s="3">
        <v>42</v>
      </c>
      <c r="C13" s="3"/>
      <c r="D13" s="3"/>
    </row>
    <row r="14">
      <c r="B14" s="4"/>
      <c r="C14" t="s" s="4">
        <v>43</v>
      </c>
      <c r="D14" t="s" s="5">
        <v>44</v>
      </c>
    </row>
    <row r="15">
      <c r="B15" t="s" s="3">
        <v>53</v>
      </c>
      <c r="C15" s="3"/>
      <c r="D15" s="3"/>
    </row>
    <row r="16">
      <c r="B16" s="4"/>
      <c r="C16" t="s" s="4">
        <v>54</v>
      </c>
      <c r="D16" t="s" s="5">
        <v>55</v>
      </c>
    </row>
    <row r="17">
      <c r="B17" t="s" s="3">
        <v>66</v>
      </c>
      <c r="C17" s="3"/>
      <c r="D17" s="3"/>
    </row>
    <row r="18">
      <c r="B18" s="4"/>
      <c r="C18" t="s" s="4">
        <v>67</v>
      </c>
      <c r="D18" t="s" s="5">
        <v>68</v>
      </c>
    </row>
    <row r="19">
      <c r="B19" t="s" s="3">
        <v>73</v>
      </c>
      <c r="C19" s="3"/>
      <c r="D19" s="3"/>
    </row>
    <row r="20">
      <c r="B20" s="4"/>
      <c r="C20" t="s" s="4">
        <v>74</v>
      </c>
      <c r="D20" t="s" s="5">
        <v>75</v>
      </c>
    </row>
    <row r="21">
      <c r="B21" t="s" s="3">
        <v>97</v>
      </c>
      <c r="C21" s="3"/>
      <c r="D21" s="3"/>
    </row>
    <row r="22">
      <c r="B22" s="4"/>
      <c r="C22" t="s" s="4">
        <v>43</v>
      </c>
      <c r="D22" t="s" s="5">
        <v>98</v>
      </c>
    </row>
    <row r="23">
      <c r="B23" t="s" s="3">
        <v>102</v>
      </c>
      <c r="C23" s="3"/>
      <c r="D23" s="3"/>
    </row>
    <row r="24">
      <c r="B24" s="4"/>
      <c r="C24" t="s" s="4">
        <v>54</v>
      </c>
      <c r="D24" t="s" s="5">
        <v>103</v>
      </c>
    </row>
    <row r="25">
      <c r="B25" t="s" s="3">
        <v>105</v>
      </c>
      <c r="C25" s="3"/>
      <c r="D25" s="3"/>
    </row>
    <row r="26">
      <c r="B26" s="4"/>
      <c r="C26" t="s" s="4">
        <v>67</v>
      </c>
      <c r="D26" t="s" s="5">
        <v>106</v>
      </c>
    </row>
  </sheetData>
  <mergeCells count="1">
    <mergeCell ref="B3:D3"/>
  </mergeCells>
  <hyperlinks>
    <hyperlink ref="D10" location="'Raw Data Fari - Raw Data (Fari)'!R3C2" tooltip="" display="Raw Data Fari - Raw Data (Fari)"/>
    <hyperlink ref="D12" location="'Sensitivity Fari - Sensitivity '!R2C1" tooltip="" display="Sensitivity Fari - Sensitivity "/>
    <hyperlink ref="D14" location="'Top-Down TAM Fari - Top-Down TA'!R2C1" tooltip="" display="Top-Down TAM Fari - Top-Down TA"/>
    <hyperlink ref="D16" location="'Bottom-Up TAM Fari - Bottom-Up '!R2C1" tooltip="" display="Bottom-Up TAM Fari - Bottom-Up "/>
    <hyperlink ref="D18" location="'SAM Fari - SAM'!R2C1" tooltip="" display="SAM Fari - SAM"/>
    <hyperlink ref="D20" location="'Raw Data Sentinel - Raw Data (S'!R2C1" tooltip="" display="Raw Data Sentinel - Raw Data (S"/>
    <hyperlink ref="D22" location="'Top-Down TAM Sentinel - Top-Dow'!R2C1" tooltip="" display="Top-Down TAM Sentinel - Top-Dow"/>
    <hyperlink ref="D24" location="'Bottom-Up TAM Sentinel - Bottom'!R2C1" tooltip="" display="Bottom-Up TAM Sentinel - Bottom"/>
    <hyperlink ref="D26" location="'SAM Sentinel - SAM'!R2C1" tooltip="" display="SAM Sentinel - SAM"/>
  </hyperlinks>
</worksheet>
</file>

<file path=xl/worksheets/sheet2.xml><?xml version="1.0" encoding="utf-8"?>
<worksheet xmlns:r="http://schemas.openxmlformats.org/officeDocument/2006/relationships" xmlns="http://schemas.openxmlformats.org/spreadsheetml/2006/main">
  <dimension ref="B3:F13"/>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6.65625" style="6" customWidth="1"/>
    <col min="2" max="6" width="16.3516" style="6" customWidth="1"/>
    <col min="7" max="16384" width="16.3516" style="6" customWidth="1"/>
  </cols>
  <sheetData>
    <row r="1" ht="21.6" customHeight="1"/>
    <row r="2" ht="27.65" customHeight="1">
      <c r="B2" t="s" s="7">
        <v>5</v>
      </c>
      <c r="C2" s="7"/>
      <c r="D2" s="7"/>
      <c r="E2" s="7"/>
      <c r="F2" s="7"/>
    </row>
    <row r="3" ht="20.25" customHeight="1">
      <c r="B3" t="s" s="8">
        <v>7</v>
      </c>
      <c r="C3" t="s" s="8">
        <v>8</v>
      </c>
      <c r="D3" t="s" s="8">
        <v>9</v>
      </c>
      <c r="E3" t="s" s="8">
        <v>10</v>
      </c>
      <c r="F3" t="s" s="8">
        <v>11</v>
      </c>
    </row>
    <row r="4" ht="92.25" customHeight="1">
      <c r="B4" t="s" s="9">
        <v>12</v>
      </c>
      <c r="C4" t="s" s="10">
        <v>13</v>
      </c>
      <c r="D4" s="11">
        <v>61245283</v>
      </c>
      <c r="E4" s="12">
        <v>2024</v>
      </c>
      <c r="F4" t="s" s="13">
        <v>14</v>
      </c>
    </row>
    <row r="5" ht="68.05" customHeight="1">
      <c r="B5" t="s" s="14">
        <v>15</v>
      </c>
      <c r="C5" t="s" s="15">
        <v>16</v>
      </c>
      <c r="D5" s="16">
        <v>35.2</v>
      </c>
      <c r="E5" s="17"/>
      <c r="F5" t="s" s="18">
        <v>17</v>
      </c>
    </row>
    <row r="6" ht="80.05" customHeight="1">
      <c r="B6" t="s" s="14">
        <v>18</v>
      </c>
      <c r="C6" t="s" s="15">
        <v>19</v>
      </c>
      <c r="D6" s="19">
        <v>34900</v>
      </c>
      <c r="E6" s="16">
        <v>2024</v>
      </c>
      <c r="F6" t="s" s="18">
        <v>20</v>
      </c>
    </row>
    <row r="7" ht="80.05" customHeight="1">
      <c r="B7" t="s" s="14">
        <v>18</v>
      </c>
      <c r="C7" t="s" s="15">
        <v>21</v>
      </c>
      <c r="D7" s="20">
        <v>4347700</v>
      </c>
      <c r="E7" s="16">
        <v>2024</v>
      </c>
      <c r="F7" t="s" s="18">
        <v>20</v>
      </c>
    </row>
    <row r="8" ht="56.05" customHeight="1">
      <c r="B8" t="s" s="14">
        <v>22</v>
      </c>
      <c r="C8" t="s" s="15">
        <v>23</v>
      </c>
      <c r="D8" s="21">
        <v>0.17</v>
      </c>
      <c r="E8" s="16">
        <v>2025</v>
      </c>
      <c r="F8" t="s" s="18">
        <v>24</v>
      </c>
    </row>
    <row r="9" ht="92.05" customHeight="1">
      <c r="B9" t="s" s="14">
        <v>25</v>
      </c>
      <c r="C9" t="s" s="15">
        <v>26</v>
      </c>
      <c r="D9" s="22">
        <v>0.3883</v>
      </c>
      <c r="E9" s="16">
        <v>2025</v>
      </c>
      <c r="F9" t="s" s="18">
        <v>27</v>
      </c>
    </row>
    <row r="10" ht="56.05" customHeight="1">
      <c r="B10" t="s" s="14">
        <v>22</v>
      </c>
      <c r="C10" t="s" s="15">
        <v>28</v>
      </c>
      <c r="D10" s="21">
        <v>0.78</v>
      </c>
      <c r="E10" s="16">
        <v>2025</v>
      </c>
      <c r="F10" t="s" s="18">
        <v>24</v>
      </c>
    </row>
    <row r="11" ht="80.05" customHeight="1">
      <c r="B11" t="s" s="14">
        <v>18</v>
      </c>
      <c r="C11" t="s" s="15">
        <v>29</v>
      </c>
      <c r="D11" s="20">
        <v>739800</v>
      </c>
      <c r="E11" s="16">
        <v>2025</v>
      </c>
      <c r="F11" t="s" s="18">
        <v>20</v>
      </c>
    </row>
    <row r="12" ht="92.05" customHeight="1">
      <c r="B12" t="s" s="14">
        <v>12</v>
      </c>
      <c r="C12" t="s" s="15">
        <v>30</v>
      </c>
      <c r="D12" s="21">
        <v>0.97</v>
      </c>
      <c r="E12" s="16">
        <v>2024</v>
      </c>
      <c r="F12" t="s" s="18">
        <v>14</v>
      </c>
    </row>
    <row r="13" ht="92.05" customHeight="1">
      <c r="B13" t="s" s="14">
        <v>12</v>
      </c>
      <c r="C13" t="s" s="15">
        <v>31</v>
      </c>
      <c r="D13" s="21">
        <v>0.42</v>
      </c>
      <c r="E13" s="16">
        <v>2024</v>
      </c>
      <c r="F13" t="s" s="18">
        <v>14</v>
      </c>
    </row>
  </sheetData>
  <mergeCells count="1">
    <mergeCell ref="B2:F2"/>
  </mergeCells>
  <hyperlinks>
    <hyperlink ref="F4" r:id="rId1" location="" tooltip="" display="https://data.census.gov/table/ACSST1Y2024.S0103?q=senior+popuolation"/>
    <hyperlink ref="F5" r:id="rId2" location="" tooltip="" display="https://www.oecd.org/en/data/indicators/old-age-dependency-ratio.html"/>
    <hyperlink ref="F6" r:id="rId3" location="" tooltip="" display="https://www.bls.gov/ooh/healthcare/home-health-aides-and-personal-care-aides.htm"/>
    <hyperlink ref="F7" r:id="rId4" location="" tooltip="" display="https://www.bls.gov/ooh/healthcare/home-health-aides-and-personal-care-aides.htm"/>
    <hyperlink ref="F8" r:id="rId5" location="" tooltip="" display="https://www.pewresearch.org/internet/fact-sheet/mobile/"/>
    <hyperlink ref="F9" r:id="rId6" location="" tooltip="" display="https://www.aarp.org/pri/topics/technology/internet-media-devices/2026-technology-trends-older-adults/"/>
    <hyperlink ref="F10" r:id="rId7" location="" tooltip="" display="https://www.pewresearch.org/internet/fact-sheet/mobile/"/>
    <hyperlink ref="F11" r:id="rId8" location="" tooltip="" display="https://www.bls.gov/ooh/healthcare/home-health-aides-and-personal-care-aides.htm"/>
    <hyperlink ref="F12" r:id="rId9" location="" tooltip="" display="https://data.census.gov/table/ACSST1Y2024.S0103?q=senior+popuolation"/>
    <hyperlink ref="F13" r:id="rId10" location="" tooltip="" display="https://data.census.gov/table/ACSST1Y2024.S0103?q=senior+popuolation"/>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D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23" customWidth="1"/>
    <col min="5" max="16384" width="16.3516" style="23" customWidth="1"/>
  </cols>
  <sheetData>
    <row r="1" ht="27.65" customHeight="1">
      <c r="A1" t="s" s="7">
        <v>33</v>
      </c>
      <c r="B1" s="7"/>
      <c r="C1" s="7"/>
      <c r="D1" s="7"/>
    </row>
    <row r="2" ht="20.25" customHeight="1">
      <c r="A2" t="s" s="8">
        <v>35</v>
      </c>
      <c r="B2" t="s" s="8">
        <v>36</v>
      </c>
      <c r="C2" t="s" s="8">
        <v>37</v>
      </c>
      <c r="D2" t="s" s="8">
        <v>38</v>
      </c>
    </row>
    <row r="3" ht="32.25" customHeight="1">
      <c r="A3" t="s" s="9">
        <v>30</v>
      </c>
      <c r="B3" s="24">
        <v>0.97</v>
      </c>
      <c r="C3" s="25"/>
      <c r="D3" s="25"/>
    </row>
    <row r="4" ht="32.05" customHeight="1">
      <c r="A4" t="s" s="14">
        <v>39</v>
      </c>
      <c r="B4" s="26">
        <v>0.78</v>
      </c>
      <c r="C4" s="17"/>
      <c r="D4" s="17"/>
    </row>
    <row r="5" ht="44.05" customHeight="1">
      <c r="A5" t="s" s="14">
        <v>40</v>
      </c>
      <c r="B5" s="27">
        <v>0.388</v>
      </c>
      <c r="C5" s="28">
        <v>0.2</v>
      </c>
      <c r="D5" s="28">
        <v>0.5</v>
      </c>
    </row>
    <row r="6" ht="32.05" customHeight="1">
      <c r="A6" t="s" s="14">
        <v>41</v>
      </c>
      <c r="B6" s="29">
        <v>61245283</v>
      </c>
      <c r="C6" s="17"/>
      <c r="D6" s="17"/>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30" customWidth="1"/>
    <col min="6" max="16384" width="16.3516" style="30" customWidth="1"/>
  </cols>
  <sheetData>
    <row r="1" ht="27.65" customHeight="1">
      <c r="A1" t="s" s="7">
        <v>43</v>
      </c>
      <c r="B1" s="7"/>
      <c r="C1" s="7"/>
      <c r="D1" s="7"/>
      <c r="E1" s="7"/>
    </row>
    <row r="2" ht="20.25" customHeight="1">
      <c r="A2" t="s" s="8">
        <v>45</v>
      </c>
      <c r="B2" t="s" s="8">
        <v>46</v>
      </c>
      <c r="C2" t="s" s="8">
        <v>47</v>
      </c>
      <c r="D2" t="s" s="8">
        <v>48</v>
      </c>
      <c r="E2" t="s" s="8">
        <v>49</v>
      </c>
    </row>
    <row r="3" ht="32.25" customHeight="1">
      <c r="A3" t="s" s="9">
        <v>50</v>
      </c>
      <c r="B3" s="31">
        <v>61245283</v>
      </c>
      <c r="C3" s="11">
        <v>61245283</v>
      </c>
      <c r="D3" s="25"/>
      <c r="E3" s="25"/>
    </row>
    <row r="4" ht="32.05" customHeight="1">
      <c r="A4" t="s" s="14">
        <v>30</v>
      </c>
      <c r="B4" s="26">
        <v>0.97</v>
      </c>
      <c r="C4" s="16">
        <f>C3*B4</f>
        <v>59407924.51</v>
      </c>
      <c r="D4" s="17"/>
      <c r="E4" s="17"/>
    </row>
    <row r="5" ht="32.05" customHeight="1">
      <c r="A5" t="s" s="14">
        <v>51</v>
      </c>
      <c r="B5" s="26">
        <v>0.78</v>
      </c>
      <c r="C5" s="16">
        <f>C4*B5</f>
        <v>46338181.1178</v>
      </c>
      <c r="D5" s="17"/>
      <c r="E5" s="17"/>
    </row>
    <row r="6" ht="32.05" customHeight="1">
      <c r="A6" t="s" s="14">
        <v>52</v>
      </c>
      <c r="B6" s="27">
        <v>0.388</v>
      </c>
      <c r="C6" s="16">
        <f>C5*B6</f>
        <v>17979214.2737064</v>
      </c>
      <c r="D6" s="28">
        <v>0.2</v>
      </c>
      <c r="E6" s="28">
        <v>0.5</v>
      </c>
    </row>
    <row r="7" ht="20.05" customHeight="1">
      <c r="A7" t="s" s="14">
        <v>43</v>
      </c>
      <c r="B7" s="32"/>
      <c r="C7" s="16">
        <f>C6</f>
        <v>17979214.2737064</v>
      </c>
      <c r="D7" s="16">
        <f>B3*B4*B5*D6</f>
        <v>9267636.22356</v>
      </c>
      <c r="E7" s="16">
        <f>B3*B4*B5*E6</f>
        <v>23169090.5589</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G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33" customWidth="1"/>
    <col min="8" max="16384" width="16.3516" style="33" customWidth="1"/>
  </cols>
  <sheetData>
    <row r="1" ht="27.65" customHeight="1">
      <c r="A1" t="s" s="7">
        <v>54</v>
      </c>
      <c r="B1" s="7"/>
      <c r="C1" s="7"/>
      <c r="D1" s="7"/>
      <c r="E1" s="7"/>
      <c r="F1" s="7"/>
      <c r="G1" s="7"/>
    </row>
    <row r="2" ht="20.25" customHeight="1">
      <c r="A2" t="s" s="8">
        <v>45</v>
      </c>
      <c r="B2" t="s" s="8">
        <v>9</v>
      </c>
      <c r="C2" t="s" s="8">
        <v>56</v>
      </c>
      <c r="D2" t="s" s="8">
        <v>57</v>
      </c>
      <c r="E2" t="s" s="8">
        <v>58</v>
      </c>
      <c r="F2" t="s" s="8">
        <v>59</v>
      </c>
      <c r="G2" t="s" s="8">
        <v>60</v>
      </c>
    </row>
    <row r="3" ht="20.25" customHeight="1">
      <c r="A3" t="s" s="9">
        <v>61</v>
      </c>
      <c r="B3" s="31">
        <v>4347700</v>
      </c>
      <c r="C3" s="11">
        <v>4347700</v>
      </c>
      <c r="D3" s="25"/>
      <c r="E3" s="25"/>
      <c r="F3" s="25"/>
      <c r="G3" s="25"/>
    </row>
    <row r="4" ht="32.05" customHeight="1">
      <c r="A4" t="s" s="14">
        <v>62</v>
      </c>
      <c r="B4" s="34">
        <v>2</v>
      </c>
      <c r="C4" s="16">
        <f>C3*B4</f>
        <v>8695400</v>
      </c>
      <c r="D4" s="16">
        <v>1</v>
      </c>
      <c r="E4" s="16">
        <v>3</v>
      </c>
      <c r="F4" s="16">
        <v>5</v>
      </c>
      <c r="G4" s="16">
        <v>10</v>
      </c>
    </row>
    <row r="5" ht="20.05" customHeight="1">
      <c r="A5" t="s" s="14">
        <v>63</v>
      </c>
      <c r="B5" s="26">
        <v>0.78</v>
      </c>
      <c r="C5" s="16">
        <f>C4*B5</f>
        <v>6782412</v>
      </c>
      <c r="D5" s="17"/>
      <c r="E5" s="17"/>
      <c r="F5" s="17"/>
      <c r="G5" s="17"/>
    </row>
    <row r="6" ht="44.05" customHeight="1">
      <c r="A6" t="s" s="14">
        <v>64</v>
      </c>
      <c r="B6" s="27">
        <v>0.388</v>
      </c>
      <c r="C6" s="16">
        <f>C5*B6</f>
        <v>2631575.856</v>
      </c>
      <c r="D6" s="17"/>
      <c r="E6" s="17"/>
      <c r="F6" s="17"/>
      <c r="G6" s="17"/>
    </row>
    <row r="7" ht="20.05" customHeight="1">
      <c r="A7" t="s" s="14">
        <v>65</v>
      </c>
      <c r="B7" s="34">
        <f>C6</f>
        <v>2631575.856</v>
      </c>
      <c r="C7" s="17"/>
      <c r="D7" s="16">
        <f>C3*B5*B6</f>
        <v>1315787.928</v>
      </c>
      <c r="E7" s="16">
        <f>C3*E4*B5*B6</f>
        <v>3947363.784</v>
      </c>
      <c r="F7" s="16">
        <f>C3*F4*B5*B6</f>
        <v>6578939.64</v>
      </c>
      <c r="G7" s="16">
        <f>C3*G4*B5*B6</f>
        <v>13157879.28</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B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35" customWidth="1"/>
    <col min="3" max="16384" width="16.3516" style="35" customWidth="1"/>
  </cols>
  <sheetData>
    <row r="1" ht="27.65" customHeight="1">
      <c r="A1" t="s" s="7">
        <v>67</v>
      </c>
      <c r="B1" s="7"/>
    </row>
    <row r="2" ht="20.25" customHeight="1">
      <c r="A2" t="s" s="8">
        <v>69</v>
      </c>
      <c r="B2" t="s" s="8">
        <v>9</v>
      </c>
    </row>
    <row r="3" ht="20.25" customHeight="1">
      <c r="A3" t="s" s="9">
        <v>70</v>
      </c>
      <c r="B3" s="36">
        <v>17979214</v>
      </c>
    </row>
    <row r="4" ht="20.05" customHeight="1">
      <c r="A4" t="s" s="14">
        <v>71</v>
      </c>
      <c r="B4" s="34">
        <v>6578940</v>
      </c>
    </row>
    <row r="5" ht="20.05" customHeight="1">
      <c r="A5" t="s" s="14">
        <v>72</v>
      </c>
      <c r="B5" s="34">
        <f>(B3+B4)/2</f>
        <v>12279077</v>
      </c>
    </row>
    <row r="6" ht="44.05" customHeight="1">
      <c r="A6" t="s" s="14">
        <v>31</v>
      </c>
      <c r="B6" s="26">
        <v>0.42</v>
      </c>
    </row>
    <row r="7" ht="20.05" customHeight="1">
      <c r="A7" t="s" s="14">
        <v>67</v>
      </c>
      <c r="B7" s="34">
        <f>B5*B6</f>
        <v>5157212.34</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37" customWidth="1"/>
    <col min="5" max="5" width="67.7891" style="37" customWidth="1"/>
    <col min="6" max="16384" width="16.3516" style="37" customWidth="1"/>
  </cols>
  <sheetData>
    <row r="1" ht="27.65" customHeight="1">
      <c r="A1" t="s" s="7">
        <v>74</v>
      </c>
      <c r="B1" s="7"/>
      <c r="C1" s="7"/>
      <c r="D1" s="7"/>
      <c r="E1" s="7"/>
    </row>
    <row r="2" ht="20.25" customHeight="1">
      <c r="A2" t="s" s="8">
        <v>7</v>
      </c>
      <c r="B2" t="s" s="8">
        <v>8</v>
      </c>
      <c r="C2" t="s" s="8">
        <v>9</v>
      </c>
      <c r="D2" t="s" s="8">
        <v>10</v>
      </c>
      <c r="E2" t="s" s="8">
        <v>76</v>
      </c>
    </row>
    <row r="3" ht="32.25" customHeight="1">
      <c r="A3" t="s" s="9">
        <v>77</v>
      </c>
      <c r="B3" t="s" s="10">
        <v>78</v>
      </c>
      <c r="C3" s="11">
        <v>1272400</v>
      </c>
      <c r="D3" s="12">
        <v>2024</v>
      </c>
      <c r="E3" t="s" s="13">
        <v>79</v>
      </c>
    </row>
    <row r="4" ht="32.05" customHeight="1">
      <c r="A4" t="s" s="14">
        <v>77</v>
      </c>
      <c r="B4" t="s" s="15">
        <v>80</v>
      </c>
      <c r="C4" s="19">
        <v>38390</v>
      </c>
      <c r="D4" s="16">
        <v>2024</v>
      </c>
      <c r="E4" t="s" s="18">
        <v>79</v>
      </c>
    </row>
    <row r="5" ht="20.05" customHeight="1">
      <c r="A5" t="s" s="14">
        <v>81</v>
      </c>
      <c r="B5" t="s" s="15">
        <v>82</v>
      </c>
      <c r="C5" s="19">
        <v>5128607000</v>
      </c>
      <c r="D5" s="16">
        <v>2025</v>
      </c>
      <c r="E5" t="s" s="18">
        <v>83</v>
      </c>
    </row>
    <row r="6" ht="20.05" customHeight="1">
      <c r="A6" t="s" s="14">
        <v>81</v>
      </c>
      <c r="B6" t="s" s="15">
        <v>84</v>
      </c>
      <c r="C6" s="19">
        <v>4067300000</v>
      </c>
      <c r="D6" s="16">
        <v>2025</v>
      </c>
      <c r="E6" t="s" s="18">
        <v>85</v>
      </c>
    </row>
    <row r="7" ht="32.05" customHeight="1">
      <c r="A7" t="s" s="14">
        <v>81</v>
      </c>
      <c r="B7" t="s" s="15">
        <v>86</v>
      </c>
      <c r="C7" s="19">
        <v>5261200000</v>
      </c>
      <c r="D7" s="16">
        <v>2025</v>
      </c>
      <c r="E7" t="s" s="18">
        <v>87</v>
      </c>
    </row>
    <row r="8" ht="32.05" customHeight="1">
      <c r="A8" t="s" s="14">
        <v>81</v>
      </c>
      <c r="B8" t="s" s="15">
        <v>88</v>
      </c>
      <c r="C8" s="19">
        <v>7472000000</v>
      </c>
      <c r="D8" s="16">
        <v>2025</v>
      </c>
      <c r="E8" t="s" s="18">
        <v>89</v>
      </c>
    </row>
    <row r="9" ht="164.05" customHeight="1">
      <c r="A9" t="s" s="14">
        <v>90</v>
      </c>
      <c r="B9" t="s" s="15">
        <v>91</v>
      </c>
      <c r="C9" s="19">
        <v>28000000000</v>
      </c>
      <c r="D9" s="16">
        <v>2025</v>
      </c>
      <c r="E9" t="s" s="18">
        <v>92</v>
      </c>
    </row>
    <row r="10" ht="152.05" customHeight="1">
      <c r="A10" t="s" s="14">
        <v>90</v>
      </c>
      <c r="B10" t="s" s="15">
        <v>93</v>
      </c>
      <c r="C10" s="19">
        <v>10000000000</v>
      </c>
      <c r="D10" s="16">
        <v>2025</v>
      </c>
      <c r="E10" t="s" s="18">
        <v>94</v>
      </c>
    </row>
    <row r="11" ht="56.05" customHeight="1">
      <c r="A11" t="s" s="14">
        <v>90</v>
      </c>
      <c r="B11" t="s" s="15">
        <v>95</v>
      </c>
      <c r="C11" s="21">
        <v>0.78</v>
      </c>
      <c r="D11" s="16">
        <v>2025</v>
      </c>
      <c r="E11" t="s" s="18">
        <v>96</v>
      </c>
    </row>
  </sheetData>
  <mergeCells count="1">
    <mergeCell ref="A1:E1"/>
  </mergeCells>
  <hyperlinks>
    <hyperlink ref="E3" r:id="rId1" location="" tooltip="" display="https://www.bls.gov/ooh/protective-service/security-guards.htm"/>
    <hyperlink ref="E4" r:id="rId2" location="" tooltip="" display="https://www.bls.gov/ooh/protective-service/security-guards.htm"/>
    <hyperlink ref="E5" r:id="rId3" location="" tooltip="" display="https://investor.adt.com/financials/annual-reports/default.aspx"/>
    <hyperlink ref="E6" r:id="rId4" location="" tooltip="" display="https://investor.allegion.com/financial-information/annual-reports-and-proxies"/>
    <hyperlink ref="E7" r:id="rId5" location="" tooltip="" display="https://investors.brinks.com/node/32226/html"/>
    <hyperlink ref="E8" r:id="rId6" location="" tooltip="" display="https://s206.q4cdn.com/301352751/files/doc_financials/2025/ar/ny20064808x3_ars_Resideo-Technologies_EDGAR_AsFiled.pdf"/>
    <hyperlink ref="E9" r:id="rId7" location="" tooltip="" display="https://www.securityindustry.org/wp-content/uploads/2022/10/SIA-Omdia-US-Physical-Security-Market-Assessment-2022.pdf#:~:text=Systems%20integration%20was%20a%20%2419%20billion%20market%20in%202021.%20The%20market%20includes%20design%20and%20consultancy%2C%20installation%2C%20and%20service%20and%20maintenance%20of%20video%20surveillance%2C%20physical%20access%20control%2C%20and%20intruder%20alarm%20systems.%20It%20also%20includes%20the%20equipment%20revenue%20at%20end%2Duser%20pricing%20as%20generated%20by%20commercial%20security%20system%20integrators%20and%20installers.%20Excluding%20equipment%20revenues%2C%20the%20service%20market%20was%20worth%20%2412.1%20billion%20in%202021.%20By%202026%2C%20the%20US%20security%20integration%20market%20(services%20and%20equipment)%20is"/>
    <hyperlink ref="E11" r:id="rId8" location="" tooltip="" display="https://www.securityindustry.org/2026/05/27/ai-in-security-infrastructure-not-hype-will-determine-roi/#:~:text=78%25%20of%20organizations%20used%20AI%20in%202024%2C%20up%20from%2055%25%20the%20year%20befor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B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38" customWidth="1"/>
    <col min="3" max="16384" width="16.3516" style="38" customWidth="1"/>
  </cols>
  <sheetData>
    <row r="1" ht="27.65" customHeight="1">
      <c r="A1" t="s" s="7">
        <v>43</v>
      </c>
      <c r="B1" s="7"/>
    </row>
    <row r="2" ht="20.25" customHeight="1">
      <c r="A2" t="s" s="8">
        <v>45</v>
      </c>
      <c r="B2" t="s" s="8">
        <v>99</v>
      </c>
    </row>
    <row r="3" ht="32.25" customHeight="1">
      <c r="A3" t="s" s="9">
        <v>100</v>
      </c>
      <c r="B3" s="39">
        <v>28000000000</v>
      </c>
    </row>
    <row r="4" ht="32.05" customHeight="1">
      <c r="A4" t="s" s="14">
        <v>101</v>
      </c>
      <c r="B4" s="40">
        <v>10000000000</v>
      </c>
    </row>
    <row r="5" ht="20.05" customHeight="1">
      <c r="A5" t="s" s="14">
        <v>43</v>
      </c>
      <c r="B5" s="40">
        <f>B3+B4</f>
        <v>38000000000</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B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41" customWidth="1"/>
    <col min="3" max="16384" width="16.3516" style="41" customWidth="1"/>
  </cols>
  <sheetData>
    <row r="1" ht="27.65" customHeight="1">
      <c r="A1" t="s" s="7">
        <v>54</v>
      </c>
      <c r="B1" s="7"/>
    </row>
    <row r="2" ht="20.25" customHeight="1">
      <c r="A2" t="s" s="8">
        <v>45</v>
      </c>
      <c r="B2" t="s" s="8">
        <v>99</v>
      </c>
    </row>
    <row r="3" ht="20.25" customHeight="1">
      <c r="A3" t="s" s="9">
        <v>104</v>
      </c>
      <c r="B3" s="31">
        <v>1272400</v>
      </c>
    </row>
    <row r="4" ht="32.05" customHeight="1">
      <c r="A4" t="s" s="14">
        <v>80</v>
      </c>
      <c r="B4" s="40">
        <v>38390</v>
      </c>
    </row>
    <row r="5" ht="20.05" customHeight="1">
      <c r="A5" t="s" s="14">
        <v>65</v>
      </c>
      <c r="B5" s="40">
        <f>B3*B4</f>
        <v>48847436000</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C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42" customWidth="1"/>
    <col min="4" max="16384" width="16.3516" style="42" customWidth="1"/>
  </cols>
  <sheetData>
    <row r="1" ht="27.65" customHeight="1">
      <c r="A1" t="s" s="7">
        <v>67</v>
      </c>
      <c r="B1" s="7"/>
      <c r="C1" s="7"/>
    </row>
    <row r="2" ht="20.25" customHeight="1">
      <c r="A2" s="43"/>
      <c r="B2" t="s" s="8">
        <v>107</v>
      </c>
      <c r="C2" t="s" s="8">
        <v>108</v>
      </c>
    </row>
    <row r="3" ht="20.25" customHeight="1">
      <c r="A3" t="s" s="9">
        <v>109</v>
      </c>
      <c r="B3" s="39">
        <v>38000000000</v>
      </c>
      <c r="C3" s="25"/>
    </row>
    <row r="4" ht="20.05" customHeight="1">
      <c r="A4" t="s" s="14">
        <v>110</v>
      </c>
      <c r="B4" s="40">
        <v>48847436000</v>
      </c>
      <c r="C4" s="17"/>
    </row>
    <row r="5" ht="32.05" customHeight="1">
      <c r="A5" t="s" s="14">
        <v>95</v>
      </c>
      <c r="B5" s="26">
        <v>0.78</v>
      </c>
      <c r="C5" s="28">
        <v>0.8</v>
      </c>
    </row>
    <row r="6" ht="20.05" customHeight="1">
      <c r="A6" t="s" s="14">
        <v>72</v>
      </c>
      <c r="B6" s="40">
        <f>(B3+B4)/2</f>
        <v>43423718000</v>
      </c>
      <c r="C6" s="17"/>
    </row>
    <row r="7" ht="32.05" customHeight="1">
      <c r="A7" t="s" s="14">
        <v>111</v>
      </c>
      <c r="B7" s="40">
        <v>10000000000</v>
      </c>
      <c r="C7" s="17"/>
    </row>
    <row r="8" ht="20.05" customHeight="1">
      <c r="A8" t="s" s="14">
        <v>67</v>
      </c>
      <c r="B8" s="44">
        <f>B5*B6</f>
        <v>33870500040</v>
      </c>
      <c r="C8" s="45">
        <f>C5*B6</f>
        <v>34738974400</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